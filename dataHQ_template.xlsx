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3.xml" ContentType="application/vnd.ms-excel.person+xml"/>
  <Override PartName="/xl/persons/person1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e8f29e5c69611e4f/Jephin/CODEBOOK/dataHQ PH2/"/>
    </mc:Choice>
  </mc:AlternateContent>
  <xr:revisionPtr revIDLastSave="28" documentId="13_ncr:1_{ED923E39-6290-41D0-9134-F53FC29FCF3C}" xr6:coauthVersionLast="47" xr6:coauthVersionMax="47" xr10:uidLastSave="{D2B39F34-E9C7-4FF4-B83F-B463CA96D6AD}"/>
  <bookViews>
    <workbookView xWindow="28680" yWindow="-120" windowWidth="29040" windowHeight="15840" xr2:uid="{74DC5B4E-C759-4CAF-A571-81B2E018D03A}"/>
  </bookViews>
  <sheets>
    <sheet name="main template" sheetId="3" r:id="rId1"/>
    <sheet name="calc templat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4" l="1"/>
  <c r="E35" i="4"/>
  <c r="D35" i="4"/>
  <c r="F33" i="4"/>
  <c r="E33" i="4"/>
  <c r="D33" i="4"/>
  <c r="F30" i="4"/>
  <c r="E30" i="4"/>
  <c r="D30" i="4"/>
  <c r="F5" i="4"/>
  <c r="E5" i="4"/>
  <c r="D5" i="4"/>
  <c r="D6" i="4" s="1"/>
  <c r="F4" i="4"/>
  <c r="E4" i="4"/>
  <c r="D4" i="4"/>
  <c r="F6" i="4" l="1"/>
  <c r="E6" i="4"/>
  <c r="D7" i="4" s="1"/>
  <c r="E10" i="4" l="1"/>
  <c r="D9" i="4"/>
</calcChain>
</file>

<file path=xl/sharedStrings.xml><?xml version="1.0" encoding="utf-8"?>
<sst xmlns="http://schemas.openxmlformats.org/spreadsheetml/2006/main" count="96" uniqueCount="73">
  <si>
    <t>India</t>
  </si>
  <si>
    <t>Day</t>
  </si>
  <si>
    <t>Day 0</t>
  </si>
  <si>
    <t>Day 7</t>
  </si>
  <si>
    <t>Day 30</t>
  </si>
  <si>
    <t xml:space="preserve">Date Range ➜ </t>
  </si>
  <si>
    <t xml:space="preserve">Install ➜ </t>
  </si>
  <si>
    <t>Roas</t>
  </si>
  <si>
    <t>Interstitial</t>
  </si>
  <si>
    <t>Reward</t>
  </si>
  <si>
    <t>Banner</t>
  </si>
  <si>
    <t>DP1</t>
  </si>
  <si>
    <t>Total Installs</t>
  </si>
  <si>
    <t>Avg Ad / user</t>
  </si>
  <si>
    <t>Lvl 20 Reach %</t>
  </si>
  <si>
    <t>eCPM</t>
  </si>
  <si>
    <t>Lvl 50 Reach %</t>
  </si>
  <si>
    <t>Revenue / user</t>
  </si>
  <si>
    <t>Lvl 70 Reach %</t>
  </si>
  <si>
    <t>Total Revenue / user</t>
  </si>
  <si>
    <t>Lvl 100 Reach %</t>
  </si>
  <si>
    <t>(install date)</t>
  </si>
  <si>
    <t>CPI</t>
  </si>
  <si>
    <t>Lvl 150 Reach %</t>
  </si>
  <si>
    <t>P/L</t>
  </si>
  <si>
    <t>Lvl 200 Reach %</t>
  </si>
  <si>
    <t>Ads 10 Reach %</t>
  </si>
  <si>
    <t>Ads 20 Reach %</t>
  </si>
  <si>
    <t>INR</t>
  </si>
  <si>
    <t>Ads 40 Reach %</t>
  </si>
  <si>
    <t>Ads 70 Reach %</t>
  </si>
  <si>
    <t>Ads 100 Reach %</t>
  </si>
  <si>
    <t>placementType</t>
  </si>
  <si>
    <t>Impressions Per User</t>
  </si>
  <si>
    <t>Ad ECPM</t>
  </si>
  <si>
    <t>Avg Ad per user</t>
  </si>
  <si>
    <t>Onboarded Users</t>
  </si>
  <si>
    <t>Onboard to Lvl 20 %</t>
  </si>
  <si>
    <t>Onboard to Lvl 50 %</t>
  </si>
  <si>
    <t>Onboard to Lvl 70 %</t>
  </si>
  <si>
    <t>Onboard to Lvl 100 %</t>
  </si>
  <si>
    <t>SYSTEM HEALTH</t>
  </si>
  <si>
    <t>Onboard to Lvl 150 %</t>
  </si>
  <si>
    <t>Onboard to Lvl 200 %</t>
  </si>
  <si>
    <t>Install to Onboard %</t>
  </si>
  <si>
    <t>Installs</t>
  </si>
  <si>
    <r>
      <t xml:space="preserve">engagement </t>
    </r>
    <r>
      <rPr>
        <sz val="10"/>
        <color theme="1"/>
        <rFont val="Calibri"/>
        <family val="2"/>
        <scheme val="minor"/>
      </rPr>
      <t>(take date range)</t>
    </r>
  </si>
  <si>
    <t>Avg. Session Length (sec)</t>
  </si>
  <si>
    <t>Total Eligible Ad Users</t>
  </si>
  <si>
    <t>Avg. Playtime (sec)</t>
  </si>
  <si>
    <t>Total Ad Attempts</t>
  </si>
  <si>
    <t>D1 Retention</t>
  </si>
  <si>
    <t>D3 Retention</t>
  </si>
  <si>
    <t>IS req</t>
  </si>
  <si>
    <t>Impression Users</t>
  </si>
  <si>
    <t>User Ad Failure %</t>
  </si>
  <si>
    <t>revenue reports</t>
  </si>
  <si>
    <t>ROAS</t>
  </si>
  <si>
    <t>RV /user</t>
  </si>
  <si>
    <t>Ad Impressions</t>
  </si>
  <si>
    <t>IS /user</t>
  </si>
  <si>
    <t>Ad Failure Rate</t>
  </si>
  <si>
    <t>Banner /user</t>
  </si>
  <si>
    <t>RV ECPM</t>
  </si>
  <si>
    <t>Ad Show Rate</t>
  </si>
  <si>
    <t>IS ECPM</t>
  </si>
  <si>
    <t>Banner ECPM</t>
  </si>
  <si>
    <t>(copy)</t>
  </si>
  <si>
    <t>0 s</t>
  </si>
  <si>
    <t>editable</t>
  </si>
  <si>
    <t>NA</t>
  </si>
  <si>
    <t>IS Request Failure %</t>
  </si>
  <si>
    <t>IS User Ad Failure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</si>
</sst>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0.0000"/>
    <numFmt numFmtId="166" formatCode="[$-409]mmmm\ d\,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632523"/>
      <name val="Calibri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27C8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 applyNumberFormat="0"/>
  </cellStyleXfs>
  <cellXfs count="87">
    <xf numFmtId="0" fontId="0" fillId="0" borderId="0" xfId="0"/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10" borderId="4" xfId="2" applyFont="1" applyFill="1" applyBorder="1" applyAlignment="1">
      <alignment horizontal="center" vertical="center"/>
    </xf>
    <xf numFmtId="0" fontId="4" fillId="10" borderId="5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7" xfId="0" applyFont="1" applyBorder="1" applyAlignment="1">
      <alignment horizontal="center"/>
    </xf>
    <xf numFmtId="10" fontId="3" fillId="0" borderId="8" xfId="1" applyNumberFormat="1" applyFont="1" applyBorder="1" applyAlignment="1">
      <alignment horizontal="center"/>
    </xf>
    <xf numFmtId="10" fontId="3" fillId="0" borderId="9" xfId="1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6" borderId="16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3" fontId="0" fillId="0" borderId="8" xfId="0" applyNumberFormat="1" applyBorder="1" applyAlignment="1" applyProtection="1">
      <alignment horizontal="center"/>
      <protection locked="0"/>
    </xf>
    <xf numFmtId="3" fontId="0" fillId="0" borderId="9" xfId="0" applyNumberForma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64" fontId="6" fillId="3" borderId="8" xfId="0" applyNumberFormat="1" applyFont="1" applyFill="1" applyBorder="1" applyAlignment="1" applyProtection="1">
      <alignment horizontal="center" vertical="center"/>
      <protection locked="0"/>
    </xf>
    <xf numFmtId="164" fontId="6" fillId="4" borderId="24" xfId="0" applyNumberFormat="1" applyFont="1" applyFill="1" applyBorder="1" applyAlignment="1" applyProtection="1">
      <alignment horizontal="center" vertical="center"/>
      <protection locked="0"/>
    </xf>
    <xf numFmtId="3" fontId="0" fillId="0" borderId="8" xfId="0" applyNumberFormat="1" applyBorder="1" applyAlignment="1" applyProtection="1">
      <alignment horizontal="center" vertical="center"/>
      <protection locked="0"/>
    </xf>
    <xf numFmtId="10" fontId="0" fillId="0" borderId="8" xfId="0" applyNumberFormat="1" applyBorder="1" applyAlignment="1" applyProtection="1">
      <alignment horizontal="center" vertical="center"/>
      <protection locked="0"/>
    </xf>
    <xf numFmtId="10" fontId="8" fillId="0" borderId="8" xfId="0" applyNumberFormat="1" applyFont="1" applyBorder="1" applyAlignment="1" applyProtection="1">
      <alignment horizontal="center" vertical="center"/>
      <protection locked="0"/>
    </xf>
    <xf numFmtId="2" fontId="10" fillId="0" borderId="24" xfId="0" applyNumberFormat="1" applyFont="1" applyBorder="1" applyAlignment="1" applyProtection="1">
      <alignment horizontal="center" vertical="center"/>
      <protection locked="0"/>
    </xf>
    <xf numFmtId="10" fontId="0" fillId="0" borderId="24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0" fontId="0" fillId="0" borderId="4" xfId="0" applyNumberFormat="1" applyBorder="1" applyAlignment="1" applyProtection="1">
      <alignment horizontal="center" vertical="center"/>
      <protection locked="0"/>
    </xf>
    <xf numFmtId="10" fontId="0" fillId="0" borderId="8" xfId="1" applyNumberFormat="1" applyFon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9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45"/>
    </xf>
    <xf numFmtId="0" fontId="0" fillId="9" borderId="0" xfId="0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2" fontId="0" fillId="2" borderId="0" xfId="0" applyNumberFormat="1" applyFill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3">
    <cellStyle name="Normal" xfId="0" builtinId="0"/>
    <cellStyle name="Normal 2" xfId="2" xr:uid="{0DC3BE83-79DB-4048-973A-29B7D3FDDA66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microsoft.com/office/2017/10/relationships/person" Target="persons/person2.xml"/><Relationship Id="rId5" Type="http://schemas.openxmlformats.org/officeDocument/2006/relationships/sharedStrings" Target="sharedStrings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2C0-5BE1-464B-94C2-A26A660F746C}">
  <sheetPr>
    <tabColor theme="7"/>
  </sheetPr>
  <dimension ref="A1:C37"/>
  <sheetViews>
    <sheetView tabSelected="1" zoomScaleNormal="100" workbookViewId="0">
      <selection activeCell="J16" sqref="J16"/>
    </sheetView>
  </sheetViews>
  <sheetFormatPr defaultRowHeight="14.5" x14ac:dyDescent="0.35"/>
  <cols>
    <col min="1" max="1" width="12.26953125" style="3" customWidth="1"/>
    <col min="2" max="2" width="22.453125" style="3" bestFit="1" customWidth="1"/>
    <col min="3" max="3" width="14" style="3" bestFit="1" customWidth="1"/>
    <col min="4" max="5" width="8.7265625" style="3" customWidth="1"/>
    <col min="6" max="16384" width="8.7265625" style="3"/>
  </cols>
  <sheetData>
    <row r="1" spans="1:3" ht="15" customHeight="1" x14ac:dyDescent="0.35">
      <c r="A1" s="80" t="s">
        <v>0</v>
      </c>
      <c r="B1" s="1" t="s">
        <v>1</v>
      </c>
      <c r="C1" s="35" t="s">
        <v>2</v>
      </c>
    </row>
    <row r="2" spans="1:3" ht="14.5" customHeight="1" x14ac:dyDescent="0.35">
      <c r="A2" s="80"/>
      <c r="B2" s="4" t="s">
        <v>5</v>
      </c>
      <c r="C2" s="65">
        <v>45933</v>
      </c>
    </row>
    <row r="3" spans="1:3" ht="14.5" customHeight="1" x14ac:dyDescent="0.35">
      <c r="A3" s="80"/>
      <c r="B3" s="9" t="s">
        <v>6</v>
      </c>
      <c r="C3" s="66">
        <v>45933</v>
      </c>
    </row>
    <row r="4" spans="1:3" ht="14.5" customHeight="1" x14ac:dyDescent="0.35">
      <c r="A4" s="81" t="s">
        <v>11</v>
      </c>
      <c r="B4" s="16" t="s">
        <v>12</v>
      </c>
      <c r="C4" s="67">
        <v>0</v>
      </c>
    </row>
    <row r="5" spans="1:3" ht="14.5" customHeight="1" x14ac:dyDescent="0.35">
      <c r="A5" s="81"/>
      <c r="B5" s="16" t="s">
        <v>14</v>
      </c>
      <c r="C5" s="68">
        <v>0</v>
      </c>
    </row>
    <row r="6" spans="1:3" ht="14.5" customHeight="1" x14ac:dyDescent="0.35">
      <c r="A6" s="81"/>
      <c r="B6" s="16" t="s">
        <v>16</v>
      </c>
      <c r="C6" s="68">
        <v>0</v>
      </c>
    </row>
    <row r="7" spans="1:3" ht="14.5" customHeight="1" x14ac:dyDescent="0.35">
      <c r="A7" s="81"/>
      <c r="B7" s="16" t="s">
        <v>18</v>
      </c>
      <c r="C7" s="68" t="s">
        <v>70</v>
      </c>
    </row>
    <row r="8" spans="1:3" ht="14.5" customHeight="1" x14ac:dyDescent="0.35">
      <c r="A8" s="81"/>
      <c r="B8" s="16" t="s">
        <v>20</v>
      </c>
      <c r="C8" s="68" t="s">
        <v>70</v>
      </c>
    </row>
    <row r="9" spans="1:3" ht="14.5" customHeight="1" x14ac:dyDescent="0.35">
      <c r="A9" s="81"/>
      <c r="B9" s="16" t="s">
        <v>23</v>
      </c>
      <c r="C9" s="68" t="s">
        <v>70</v>
      </c>
    </row>
    <row r="10" spans="1:3" ht="14.5" customHeight="1" x14ac:dyDescent="0.35">
      <c r="A10" s="81"/>
      <c r="B10" s="16" t="s">
        <v>25</v>
      </c>
      <c r="C10" s="68" t="s">
        <v>70</v>
      </c>
    </row>
    <row r="11" spans="1:3" ht="14.5" customHeight="1" x14ac:dyDescent="0.35">
      <c r="A11" s="81"/>
      <c r="B11" s="16" t="s">
        <v>26</v>
      </c>
      <c r="C11" s="69">
        <v>0</v>
      </c>
    </row>
    <row r="12" spans="1:3" ht="14.5" customHeight="1" x14ac:dyDescent="0.35">
      <c r="A12" s="81"/>
      <c r="B12" s="16" t="s">
        <v>27</v>
      </c>
      <c r="C12" s="69">
        <v>0</v>
      </c>
    </row>
    <row r="13" spans="1:3" ht="15" customHeight="1" x14ac:dyDescent="0.35">
      <c r="A13" s="81"/>
      <c r="B13" s="16" t="s">
        <v>29</v>
      </c>
      <c r="C13" s="69">
        <v>0</v>
      </c>
    </row>
    <row r="14" spans="1:3" ht="15" customHeight="1" x14ac:dyDescent="0.35">
      <c r="A14" s="81"/>
      <c r="B14" s="16" t="s">
        <v>30</v>
      </c>
      <c r="C14" s="69">
        <v>0</v>
      </c>
    </row>
    <row r="15" spans="1:3" ht="15" customHeight="1" x14ac:dyDescent="0.35">
      <c r="A15" s="81"/>
      <c r="B15" s="16" t="s">
        <v>31</v>
      </c>
      <c r="C15" s="69">
        <v>0</v>
      </c>
    </row>
    <row r="16" spans="1:3" s="31" customFormat="1" ht="14.5" customHeight="1" x14ac:dyDescent="0.35">
      <c r="A16" s="81"/>
      <c r="B16" s="30" t="s">
        <v>35</v>
      </c>
      <c r="C16" s="70">
        <v>0</v>
      </c>
    </row>
    <row r="17" spans="1:3" ht="14.5" customHeight="1" x14ac:dyDescent="0.35">
      <c r="A17" s="81"/>
      <c r="B17" s="32" t="s">
        <v>36</v>
      </c>
      <c r="C17" s="67">
        <v>0</v>
      </c>
    </row>
    <row r="18" spans="1:3" ht="15" customHeight="1" x14ac:dyDescent="0.35">
      <c r="A18" s="81"/>
      <c r="B18" s="32" t="s">
        <v>37</v>
      </c>
      <c r="C18" s="68">
        <v>0</v>
      </c>
    </row>
    <row r="19" spans="1:3" ht="14.5" customHeight="1" x14ac:dyDescent="0.35">
      <c r="A19" s="81"/>
      <c r="B19" s="32" t="s">
        <v>38</v>
      </c>
      <c r="C19" s="68">
        <v>0</v>
      </c>
    </row>
    <row r="20" spans="1:3" ht="14.5" customHeight="1" x14ac:dyDescent="0.35">
      <c r="A20" s="81"/>
      <c r="B20" s="32" t="s">
        <v>39</v>
      </c>
      <c r="C20" s="68" t="s">
        <v>70</v>
      </c>
    </row>
    <row r="21" spans="1:3" ht="14.5" customHeight="1" x14ac:dyDescent="0.35">
      <c r="A21" s="81"/>
      <c r="B21" s="32" t="s">
        <v>40</v>
      </c>
      <c r="C21" s="68" t="s">
        <v>70</v>
      </c>
    </row>
    <row r="22" spans="1:3" ht="14.5" customHeight="1" x14ac:dyDescent="0.35">
      <c r="A22" s="81"/>
      <c r="B22" s="32" t="s">
        <v>42</v>
      </c>
      <c r="C22" s="68" t="s">
        <v>70</v>
      </c>
    </row>
    <row r="23" spans="1:3" ht="14.5" customHeight="1" x14ac:dyDescent="0.35">
      <c r="A23" s="81"/>
      <c r="B23" s="32" t="s">
        <v>43</v>
      </c>
      <c r="C23" s="68" t="s">
        <v>70</v>
      </c>
    </row>
    <row r="24" spans="1:3" ht="14.5" customHeight="1" x14ac:dyDescent="0.35">
      <c r="A24" s="81"/>
      <c r="B24" s="38" t="s">
        <v>44</v>
      </c>
      <c r="C24" s="71">
        <v>0</v>
      </c>
    </row>
    <row r="25" spans="1:3" ht="14.5" customHeight="1" x14ac:dyDescent="0.35">
      <c r="A25" s="82" t="s">
        <v>46</v>
      </c>
      <c r="B25" s="40" t="s">
        <v>47</v>
      </c>
      <c r="C25" s="72" t="s">
        <v>68</v>
      </c>
    </row>
    <row r="26" spans="1:3" ht="14.5" customHeight="1" x14ac:dyDescent="0.35">
      <c r="A26" s="82"/>
      <c r="B26" s="32" t="s">
        <v>49</v>
      </c>
      <c r="C26" s="73" t="s">
        <v>68</v>
      </c>
    </row>
    <row r="27" spans="1:3" ht="14.5" customHeight="1" x14ac:dyDescent="0.35">
      <c r="A27" s="82"/>
      <c r="B27" s="32" t="s">
        <v>51</v>
      </c>
      <c r="C27" s="68">
        <v>0</v>
      </c>
    </row>
    <row r="28" spans="1:3" ht="14.5" customHeight="1" x14ac:dyDescent="0.35">
      <c r="A28" s="82"/>
      <c r="B28" s="38" t="s">
        <v>52</v>
      </c>
      <c r="C28" s="71">
        <v>0</v>
      </c>
    </row>
    <row r="29" spans="1:3" ht="14.5" customHeight="1" x14ac:dyDescent="0.35">
      <c r="A29" s="78" t="s">
        <v>53</v>
      </c>
      <c r="B29" s="40" t="s">
        <v>72</v>
      </c>
      <c r="C29" s="74">
        <v>0</v>
      </c>
    </row>
    <row r="30" spans="1:3" ht="14.5" customHeight="1" x14ac:dyDescent="0.35">
      <c r="A30" s="78"/>
      <c r="B30" s="38" t="s">
        <v>71</v>
      </c>
      <c r="C30" s="71">
        <v>0</v>
      </c>
    </row>
    <row r="31" spans="1:3" ht="14.5" customHeight="1" x14ac:dyDescent="0.35">
      <c r="A31" s="79" t="s">
        <v>56</v>
      </c>
      <c r="B31" s="32" t="s">
        <v>57</v>
      </c>
      <c r="C31" s="75">
        <v>0</v>
      </c>
    </row>
    <row r="32" spans="1:3" ht="14.5" customHeight="1" x14ac:dyDescent="0.35">
      <c r="A32" s="79"/>
      <c r="B32" s="32" t="s">
        <v>58</v>
      </c>
      <c r="C32" s="73">
        <v>0</v>
      </c>
    </row>
    <row r="33" spans="1:3" ht="14.5" customHeight="1" x14ac:dyDescent="0.35">
      <c r="A33" s="79"/>
      <c r="B33" s="32" t="s">
        <v>60</v>
      </c>
      <c r="C33" s="73">
        <v>0</v>
      </c>
    </row>
    <row r="34" spans="1:3" ht="14.5" customHeight="1" x14ac:dyDescent="0.35">
      <c r="A34" s="79"/>
      <c r="B34" s="32" t="s">
        <v>62</v>
      </c>
      <c r="C34" s="73">
        <v>0</v>
      </c>
    </row>
    <row r="35" spans="1:3" ht="14.5" customHeight="1" x14ac:dyDescent="0.35">
      <c r="A35" s="79"/>
      <c r="B35" s="32" t="s">
        <v>63</v>
      </c>
      <c r="C35" s="73">
        <v>0</v>
      </c>
    </row>
    <row r="36" spans="1:3" ht="14.5" customHeight="1" x14ac:dyDescent="0.35">
      <c r="A36" s="79"/>
      <c r="B36" s="32" t="s">
        <v>65</v>
      </c>
      <c r="C36" s="73">
        <v>0</v>
      </c>
    </row>
    <row r="37" spans="1:3" ht="14.5" customHeight="1" x14ac:dyDescent="0.35">
      <c r="A37" s="79"/>
      <c r="B37" s="38" t="s">
        <v>66</v>
      </c>
      <c r="C37" s="76">
        <v>0</v>
      </c>
    </row>
  </sheetData>
  <sheetProtection algorithmName="SHA-512" hashValue="OaGBwAflO0sWChL4i9lUPIpYbqaAQweQLQ3KQuwdLBP/ZHQruz/Zw9cQ1wkEH4UKZhGOQh0QM1yjTtKk5tnWeQ==" saltValue="t3Wf0nraC/QcN4HbEh/ssA==" spinCount="100000" sheet="1" objects="1" scenarios="1"/>
  <mergeCells count="5">
    <mergeCell ref="A29:A30"/>
    <mergeCell ref="A31:A37"/>
    <mergeCell ref="A1:A3"/>
    <mergeCell ref="A4:A24"/>
    <mergeCell ref="A25:A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469C-7A8D-45F8-84D9-5598B4A88989}">
  <sheetPr>
    <tabColor theme="8" tint="-0.249977111117893"/>
  </sheetPr>
  <dimension ref="A1:H37"/>
  <sheetViews>
    <sheetView zoomScaleNormal="100" workbookViewId="0">
      <selection activeCell="P9" sqref="P9"/>
    </sheetView>
  </sheetViews>
  <sheetFormatPr defaultRowHeight="14.5" x14ac:dyDescent="0.35"/>
  <cols>
    <col min="1" max="1" width="8.7265625" style="43"/>
    <col min="2" max="2" width="12.1796875" style="3" customWidth="1"/>
    <col min="3" max="3" width="20.7265625" style="3" customWidth="1"/>
    <col min="4" max="4" width="17" customWidth="1"/>
    <col min="5" max="5" width="17.54296875" style="3" customWidth="1"/>
    <col min="6" max="6" width="16.26953125" style="3" customWidth="1"/>
    <col min="7" max="7" width="8.7265625" style="3"/>
    <col min="8" max="9" width="8.7265625" style="3" customWidth="1"/>
    <col min="10" max="16384" width="8.7265625" style="3"/>
  </cols>
  <sheetData>
    <row r="1" spans="1:8" ht="15" customHeight="1" thickBot="1" x14ac:dyDescent="0.4">
      <c r="A1" s="3"/>
    </row>
    <row r="2" spans="1:8" ht="14.5" customHeight="1" x14ac:dyDescent="0.35">
      <c r="A2" s="3"/>
      <c r="B2" s="5"/>
      <c r="C2" s="6"/>
      <c r="D2" s="7"/>
      <c r="E2" s="6"/>
      <c r="F2" s="6"/>
      <c r="G2" s="8"/>
    </row>
    <row r="3" spans="1:8" ht="14.5" customHeight="1" x14ac:dyDescent="0.35">
      <c r="A3" s="3"/>
      <c r="B3" s="10"/>
      <c r="C3" s="11" t="s">
        <v>7</v>
      </c>
      <c r="D3" s="12" t="s">
        <v>8</v>
      </c>
      <c r="E3" s="13" t="s">
        <v>9</v>
      </c>
      <c r="F3" s="14" t="s">
        <v>10</v>
      </c>
      <c r="G3" s="15"/>
    </row>
    <row r="4" spans="1:8" ht="14.5" customHeight="1" x14ac:dyDescent="0.35">
      <c r="A4" s="3"/>
      <c r="B4" s="10"/>
      <c r="C4" s="3" t="s">
        <v>13</v>
      </c>
      <c r="D4" s="17">
        <f>IFERROR(VLOOKUP(D3,$C$16:$D$18,2,FALSE),"")</f>
        <v>0</v>
      </c>
      <c r="E4" s="17">
        <f>IFERROR(VLOOKUP(E3,$C$16:$D$18,2,FALSE),"")</f>
        <v>0</v>
      </c>
      <c r="F4" s="17">
        <f>IFERROR(VLOOKUP(F3,$C$16:$D$18,2,FALSE),"")</f>
        <v>0</v>
      </c>
      <c r="G4" s="15"/>
      <c r="H4" s="77" t="s">
        <v>69</v>
      </c>
    </row>
    <row r="5" spans="1:8" ht="14.5" customHeight="1" x14ac:dyDescent="0.35">
      <c r="A5" s="3"/>
      <c r="B5" s="10"/>
      <c r="C5" s="3" t="s">
        <v>15</v>
      </c>
      <c r="D5" s="17">
        <f>IFERROR(VLOOKUP(D3,$C$16:$E$18,3,FALSE),"")</f>
        <v>0</v>
      </c>
      <c r="E5" s="17">
        <f>IFERROR(VLOOKUP(E3,$C$16:$E$18,3,FALSE),"")</f>
        <v>0</v>
      </c>
      <c r="F5" s="17">
        <f>IFERROR(VLOOKUP(F3,$C$16:$E$18,3,FALSE),"")</f>
        <v>0</v>
      </c>
      <c r="G5" s="15"/>
      <c r="H5" s="77" t="s">
        <v>69</v>
      </c>
    </row>
    <row r="6" spans="1:8" ht="14.5" customHeight="1" x14ac:dyDescent="0.35">
      <c r="A6" s="3"/>
      <c r="B6" s="10"/>
      <c r="C6" s="3" t="s">
        <v>17</v>
      </c>
      <c r="D6" s="19">
        <f>((D5*D12)/1000)*$D$4</f>
        <v>0</v>
      </c>
      <c r="E6" s="19">
        <f>((E5*D12)/1000)*$E$4</f>
        <v>0</v>
      </c>
      <c r="F6" s="19">
        <f>((F5*D12)/1000)*$F$4</f>
        <v>0</v>
      </c>
      <c r="G6" s="15"/>
    </row>
    <row r="7" spans="1:8" ht="14.5" customHeight="1" x14ac:dyDescent="0.35">
      <c r="A7" s="3"/>
      <c r="B7" s="10"/>
      <c r="C7" s="3" t="s">
        <v>19</v>
      </c>
      <c r="D7" s="83">
        <f>D6+E6+F6</f>
        <v>0</v>
      </c>
      <c r="E7" s="83"/>
      <c r="F7" s="83"/>
      <c r="G7" s="15"/>
    </row>
    <row r="8" spans="1:8" ht="14.5" customHeight="1" x14ac:dyDescent="0.35">
      <c r="A8" s="3"/>
      <c r="B8" s="20" t="s">
        <v>21</v>
      </c>
      <c r="C8" s="3" t="s">
        <v>22</v>
      </c>
      <c r="D8" s="84"/>
      <c r="E8" s="84"/>
      <c r="F8" s="84"/>
      <c r="G8" s="15"/>
      <c r="H8" s="77" t="s">
        <v>69</v>
      </c>
    </row>
    <row r="9" spans="1:8" ht="14.5" customHeight="1" x14ac:dyDescent="0.35">
      <c r="A9" s="3"/>
      <c r="B9" s="10"/>
      <c r="C9" s="3" t="s">
        <v>24</v>
      </c>
      <c r="D9" s="83">
        <f>D7-D8</f>
        <v>0</v>
      </c>
      <c r="E9" s="83"/>
      <c r="F9" s="83"/>
      <c r="G9" s="15"/>
    </row>
    <row r="10" spans="1:8" ht="14.5" customHeight="1" x14ac:dyDescent="0.35">
      <c r="A10" s="3"/>
      <c r="B10" s="53" t="s">
        <v>67</v>
      </c>
      <c r="C10" s="3" t="s">
        <v>7</v>
      </c>
      <c r="D10" s="21"/>
      <c r="E10" s="21" t="e">
        <f>D7/D8</f>
        <v>#DIV/0!</v>
      </c>
      <c r="F10" s="21"/>
      <c r="G10" s="15"/>
    </row>
    <row r="11" spans="1:8" ht="14.5" customHeight="1" x14ac:dyDescent="0.35">
      <c r="A11" s="3"/>
      <c r="B11" s="10"/>
      <c r="D11" s="3"/>
      <c r="G11" s="15"/>
    </row>
    <row r="12" spans="1:8" ht="14.5" customHeight="1" x14ac:dyDescent="0.35">
      <c r="A12" s="3"/>
      <c r="B12" s="53"/>
      <c r="C12" s="3" t="s">
        <v>28</v>
      </c>
      <c r="D12" s="3">
        <v>88</v>
      </c>
      <c r="G12" s="22"/>
    </row>
    <row r="13" spans="1:8" ht="15" customHeight="1" thickBot="1" x14ac:dyDescent="0.4">
      <c r="A13" s="3"/>
      <c r="B13" s="23"/>
      <c r="C13" s="24"/>
      <c r="D13" s="25"/>
      <c r="E13" s="24"/>
      <c r="F13" s="24"/>
      <c r="G13" s="26"/>
    </row>
    <row r="14" spans="1:8" ht="15" customHeight="1" thickBot="1" x14ac:dyDescent="0.4">
      <c r="A14" s="3"/>
    </row>
    <row r="15" spans="1:8" ht="15" customHeight="1" thickBot="1" x14ac:dyDescent="0.4">
      <c r="A15" s="3"/>
      <c r="C15" s="27" t="s">
        <v>32</v>
      </c>
      <c r="D15" s="28" t="s">
        <v>33</v>
      </c>
      <c r="E15" s="29" t="s">
        <v>34</v>
      </c>
    </row>
    <row r="16" spans="1:8" s="31" customFormat="1" ht="14.5" customHeight="1" x14ac:dyDescent="0.35">
      <c r="B16" s="3"/>
      <c r="C16" s="54" t="s">
        <v>9</v>
      </c>
      <c r="D16" s="55"/>
      <c r="E16" s="56"/>
      <c r="F16" s="77" t="s">
        <v>69</v>
      </c>
      <c r="G16" s="3"/>
    </row>
    <row r="17" spans="1:7" ht="14.5" customHeight="1" x14ac:dyDescent="0.35">
      <c r="A17" s="3"/>
      <c r="C17" s="57" t="s">
        <v>8</v>
      </c>
      <c r="D17" s="55"/>
      <c r="E17" s="56"/>
      <c r="F17" s="77" t="s">
        <v>69</v>
      </c>
    </row>
    <row r="18" spans="1:7" ht="15" customHeight="1" thickBot="1" x14ac:dyDescent="0.4">
      <c r="A18" s="3"/>
      <c r="C18" s="58" t="s">
        <v>10</v>
      </c>
      <c r="D18" s="59"/>
      <c r="E18" s="60"/>
      <c r="F18" s="77" t="s">
        <v>69</v>
      </c>
    </row>
    <row r="19" spans="1:7" ht="14.5" customHeight="1" x14ac:dyDescent="0.35">
      <c r="A19" s="3"/>
    </row>
    <row r="20" spans="1:7" ht="14.5" customHeight="1" x14ac:dyDescent="0.35">
      <c r="A20" s="3"/>
    </row>
    <row r="21" spans="1:7" ht="14.5" customHeight="1" x14ac:dyDescent="0.35">
      <c r="A21" s="3"/>
      <c r="C21" s="85" t="s">
        <v>41</v>
      </c>
      <c r="D21" s="33"/>
      <c r="E21" s="33"/>
      <c r="F21" s="34"/>
    </row>
    <row r="22" spans="1:7" ht="14.5" customHeight="1" x14ac:dyDescent="0.35">
      <c r="A22" s="3"/>
      <c r="C22" s="86"/>
      <c r="D22" s="35" t="s">
        <v>2</v>
      </c>
      <c r="E22" s="35" t="s">
        <v>3</v>
      </c>
      <c r="F22" s="2" t="s">
        <v>4</v>
      </c>
    </row>
    <row r="23" spans="1:7" ht="14.5" customHeight="1" x14ac:dyDescent="0.35">
      <c r="A23" s="3"/>
      <c r="C23" s="32"/>
      <c r="D23" s="36"/>
      <c r="E23" s="36"/>
      <c r="F23" s="37"/>
    </row>
    <row r="24" spans="1:7" ht="14.5" customHeight="1" x14ac:dyDescent="0.35">
      <c r="A24" s="3"/>
      <c r="C24" s="39" t="s">
        <v>45</v>
      </c>
      <c r="D24" s="61"/>
      <c r="E24" s="61"/>
      <c r="F24" s="62"/>
      <c r="G24" s="77" t="s">
        <v>69</v>
      </c>
    </row>
    <row r="25" spans="1:7" ht="14.5" customHeight="1" x14ac:dyDescent="0.35">
      <c r="A25" s="3"/>
      <c r="C25" s="39" t="s">
        <v>48</v>
      </c>
      <c r="D25" s="63"/>
      <c r="E25" s="63"/>
      <c r="F25" s="64"/>
      <c r="G25" s="77" t="s">
        <v>69</v>
      </c>
    </row>
    <row r="26" spans="1:7" ht="14.5" customHeight="1" x14ac:dyDescent="0.35">
      <c r="A26" s="3"/>
      <c r="C26" s="39" t="s">
        <v>50</v>
      </c>
      <c r="D26" s="63"/>
      <c r="E26" s="63"/>
      <c r="F26" s="64"/>
      <c r="G26" s="77" t="s">
        <v>69</v>
      </c>
    </row>
    <row r="27" spans="1:7" ht="14.5" customHeight="1" x14ac:dyDescent="0.35">
      <c r="A27" s="3"/>
      <c r="C27" s="39"/>
      <c r="D27" s="41"/>
      <c r="E27" s="41"/>
      <c r="F27" s="42"/>
    </row>
    <row r="28" spans="1:7" ht="14.5" customHeight="1" x14ac:dyDescent="0.35">
      <c r="A28" s="18"/>
      <c r="C28" s="39"/>
      <c r="D28" s="41"/>
      <c r="E28" s="41"/>
      <c r="F28" s="42"/>
    </row>
    <row r="29" spans="1:7" ht="14.5" customHeight="1" x14ac:dyDescent="0.35">
      <c r="A29" s="3"/>
      <c r="C29" s="39" t="s">
        <v>54</v>
      </c>
      <c r="D29" s="63"/>
      <c r="E29" s="63"/>
      <c r="F29" s="64"/>
      <c r="G29" s="77" t="s">
        <v>69</v>
      </c>
    </row>
    <row r="30" spans="1:7" ht="14.5" customHeight="1" x14ac:dyDescent="0.35">
      <c r="C30" s="44" t="s">
        <v>55</v>
      </c>
      <c r="D30" s="45" t="e">
        <f t="shared" ref="D30:F30" si="0">1-D29/D25</f>
        <v>#DIV/0!</v>
      </c>
      <c r="E30" s="45" t="e">
        <f t="shared" si="0"/>
        <v>#DIV/0!</v>
      </c>
      <c r="F30" s="46" t="e">
        <f t="shared" si="0"/>
        <v>#DIV/0!</v>
      </c>
    </row>
    <row r="31" spans="1:7" ht="14.5" customHeight="1" x14ac:dyDescent="0.35">
      <c r="C31" s="39"/>
      <c r="D31" s="41"/>
      <c r="E31" s="41"/>
      <c r="F31" s="42"/>
    </row>
    <row r="32" spans="1:7" ht="14.5" customHeight="1" x14ac:dyDescent="0.35">
      <c r="C32" s="39" t="s">
        <v>59</v>
      </c>
      <c r="D32" s="63"/>
      <c r="E32" s="63"/>
      <c r="F32" s="64"/>
      <c r="G32" s="77" t="s">
        <v>69</v>
      </c>
    </row>
    <row r="33" spans="3:6" ht="14.5" customHeight="1" x14ac:dyDescent="0.35">
      <c r="C33" s="44" t="s">
        <v>61</v>
      </c>
      <c r="D33" s="45" t="e">
        <f>1-D32/D26</f>
        <v>#DIV/0!</v>
      </c>
      <c r="E33" s="45" t="e">
        <f t="shared" ref="E33:F33" si="1">1-E32/E26</f>
        <v>#DIV/0!</v>
      </c>
      <c r="F33" s="46" t="e">
        <f t="shared" si="1"/>
        <v>#DIV/0!</v>
      </c>
    </row>
    <row r="34" spans="3:6" ht="14.5" customHeight="1" x14ac:dyDescent="0.35">
      <c r="C34" s="39"/>
      <c r="D34" s="41"/>
      <c r="E34" s="41"/>
      <c r="F34" s="42"/>
    </row>
    <row r="35" spans="3:6" ht="14.5" customHeight="1" x14ac:dyDescent="0.35">
      <c r="C35" s="47" t="s">
        <v>64</v>
      </c>
      <c r="D35" s="48" t="e">
        <f>D32/D26</f>
        <v>#DIV/0!</v>
      </c>
      <c r="E35" s="48" t="e">
        <f t="shared" ref="E35:F35" si="2">E32/E26</f>
        <v>#DIV/0!</v>
      </c>
      <c r="F35" s="49" t="e">
        <f t="shared" si="2"/>
        <v>#DIV/0!</v>
      </c>
    </row>
    <row r="36" spans="3:6" ht="14.5" customHeight="1" x14ac:dyDescent="0.35">
      <c r="C36" s="38"/>
      <c r="D36" s="50"/>
      <c r="E36" s="51"/>
      <c r="F36" s="52"/>
    </row>
    <row r="37" spans="3:6" ht="14.5" customHeight="1" x14ac:dyDescent="0.35"/>
  </sheetData>
  <sheetProtection algorithmName="SHA-512" hashValue="4v1/eWWl8jp07y2twgXHUdD9QUW/dRI3YoLiDRgHOQ4Z9IA1XK+LTF+21zBqZQp3dkkGIjLItBZLFetFWhQkwQ==" saltValue="muCu1LbOl5wo67Og6Mei0g==" spinCount="100000" sheet="1" objects="1" scenarios="1"/>
  <mergeCells count="4">
    <mergeCell ref="D7:F7"/>
    <mergeCell ref="D8:F8"/>
    <mergeCell ref="D9:F9"/>
    <mergeCell ref="C21:C22"/>
  </mergeCells>
  <conditionalFormatting sqref="D10:F10">
    <cfRule type="cellIs" dxfId="1" priority="1" operator="greaterThan">
      <formula>1</formula>
    </cfRule>
    <cfRule type="cellIs" dxfId="0" priority="2" operator="lessThan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template</vt:lpstr>
      <vt:lpstr>calc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Jephin Joseph</dc:creator>
  <cp:lastModifiedBy>Jephin Joseph</cp:lastModifiedBy>
  <dcterms:created xsi:type="dcterms:W3CDTF">2026-05-29T08:06:18Z</dcterms:created>
  <dcterms:modified xsi:type="dcterms:W3CDTF">2026-06-02T07:37:15Z</dcterms:modified>
</cp:coreProperties>
</file>